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" sheetId="1" state="visible" r:id="rId1"/>
  </sheets>
  <definedNames>
    <definedName name="_xlnm._FilterDatabase" localSheetId="0" hidden="1">'Dialog'!$A$4:$I$43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color rgb="00000000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24" customWidth="1" min="4" max="4"/>
    <col width="7" customWidth="1" min="5" max="5"/>
    <col width="10" customWidth="1" min="6" max="6"/>
    <col width="80" customWidth="1" min="7" max="7"/>
    <col width="22" customWidth="1" min="8" max="8"/>
    <col width="11" customWidth="1" min="9" max="9"/>
  </cols>
  <sheetData>
    <row r="1">
      <c r="A1" s="1" t="inlineStr">
        <is>
          <t>Inner Spark — stage dialog transcript</t>
        </is>
      </c>
    </row>
    <row r="2">
      <c r="A2" s="2" t="inlineStr">
        <is>
          <t>As in the game (Assets/PCB/Dialog/LvlN_Intro). One row per line; each line is one Continue press (max 3 per stage). The dialog box shrinks long lines to fit (font 44 → 26).</t>
        </is>
      </c>
    </row>
    <row r="4">
      <c r="A4" s="3" t="inlineStr">
        <is>
          <t>Stage</t>
        </is>
      </c>
      <c r="B4" s="3" t="inlineStr">
        <is>
          <t>Play order</t>
        </is>
      </c>
      <c r="C4" s="4" t="inlineStr">
        <is>
          <t>Console</t>
        </is>
      </c>
      <c r="D4" s="4" t="inlineStr">
        <is>
          <t>Level name</t>
        </is>
      </c>
      <c r="E4" s="3" t="inlineStr">
        <is>
          <t>Line #</t>
        </is>
      </c>
      <c r="F4" s="4" t="inlineStr">
        <is>
          <t>Speaker</t>
        </is>
      </c>
      <c r="G4" s="4" t="inlineStr">
        <is>
          <t>Line</t>
        </is>
      </c>
      <c r="H4" s="4" t="inlineStr">
        <is>
          <t>Origin</t>
        </is>
      </c>
      <c r="I4" s="3" t="inlineStr">
        <is>
          <t>Characters</t>
        </is>
      </c>
    </row>
    <row r="5">
      <c r="A5" s="5" t="inlineStr">
        <is>
          <t>1</t>
        </is>
      </c>
      <c r="B5" s="5" t="n">
        <v>1</v>
      </c>
      <c r="C5" s="6" t="inlineStr">
        <is>
          <t>Coleco Telstar</t>
        </is>
      </c>
      <c r="D5" s="6" t="inlineStr">
        <is>
          <t>Coleco Telstar: Level 1</t>
        </is>
      </c>
      <c r="E5" s="5" t="n">
        <v>1</v>
      </c>
      <c r="F5" s="6" t="inlineStr">
        <is>
          <t>Sparky</t>
        </is>
      </c>
      <c r="G5" s="7" t="inlineStr">
        <is>
          <t>Hi, I'm Sparky! Wakey wakey, Granny! Your name hides your past: COnnecticut LEather COmpany.</t>
        </is>
      </c>
      <c r="H5" s="6" t="inlineStr">
        <is>
          <t>Team script (shortened)</t>
        </is>
      </c>
      <c r="I5" s="8">
        <f>IF(F5="","",LEN(G5))</f>
        <v/>
      </c>
    </row>
    <row r="6">
      <c r="A6" s="5" t="inlineStr">
        <is>
          <t>1</t>
        </is>
      </c>
      <c r="B6" s="5" t="n">
        <v>1</v>
      </c>
      <c r="C6" s="6" t="inlineStr">
        <is>
          <t>Coleco Telstar</t>
        </is>
      </c>
      <c r="D6" s="6" t="inlineStr">
        <is>
          <t>Coleco Telstar: Level 1</t>
        </is>
      </c>
      <c r="E6" s="5" t="n">
        <v>2</v>
      </c>
      <c r="F6" s="6" t="inlineStr">
        <is>
          <t>Sparky</t>
        </is>
      </c>
      <c r="G6" s="7" t="inlineStr">
        <is>
          <t>Move with WASD or the arrow keys. I zip along a copper trace to the next stop.</t>
        </is>
      </c>
      <c r="H6" s="6" t="inlineStr">
        <is>
          <t>Added (tutorial)</t>
        </is>
      </c>
      <c r="I6" s="8">
        <f>IF(F6="","",LEN(G6))</f>
        <v/>
      </c>
    </row>
    <row r="7">
      <c r="A7" s="5" t="inlineStr">
        <is>
          <t>1</t>
        </is>
      </c>
      <c r="B7" s="5" t="n">
        <v>1</v>
      </c>
      <c r="C7" s="6" t="inlineStr">
        <is>
          <t>Coleco Telstar</t>
        </is>
      </c>
      <c r="D7" s="6" t="inlineStr">
        <is>
          <t>Coleco Telstar: Level 1</t>
        </is>
      </c>
      <c r="E7" s="5" t="n">
        <v>3</v>
      </c>
      <c r="F7" s="6" t="inlineStr">
        <is>
          <t>Sparky</t>
        </is>
      </c>
      <c r="G7" s="7" t="inlineStr">
        <is>
          <t>Follow the traces to the Goal and this old console lights up again!</t>
        </is>
      </c>
      <c r="H7" s="6" t="inlineStr">
        <is>
          <t>Added (tutorial)</t>
        </is>
      </c>
      <c r="I7" s="8">
        <f>IF(F7="","",LEN(G7))</f>
        <v/>
      </c>
    </row>
    <row r="8">
      <c r="A8" s="9" t="inlineStr">
        <is>
          <t>2</t>
        </is>
      </c>
      <c r="B8" s="9" t="n">
        <v>2</v>
      </c>
      <c r="C8" s="10" t="inlineStr">
        <is>
          <t>Atari 2600</t>
        </is>
      </c>
      <c r="D8" s="10" t="inlineStr">
        <is>
          <t>Atari 2600: Level 2</t>
        </is>
      </c>
      <c r="E8" s="9" t="n">
        <v>1</v>
      </c>
      <c r="F8" s="10" t="inlineStr">
        <is>
          <t>Sparky</t>
        </is>
      </c>
      <c r="G8" s="11" t="inlineStr">
        <is>
          <t>Next stop: Atari 2600! Outside, a little box. Slot in a cartridge, and inside it turns into a whole library of worlds.</t>
        </is>
      </c>
      <c r="H8" s="10" t="inlineStr">
        <is>
          <t>Team script</t>
        </is>
      </c>
      <c r="I8" s="12">
        <f>IF(F8="","",LEN(G8))</f>
        <v/>
      </c>
    </row>
    <row r="9">
      <c r="A9" s="9" t="inlineStr">
        <is>
          <t>2</t>
        </is>
      </c>
      <c r="B9" s="9" t="n">
        <v>2</v>
      </c>
      <c r="C9" s="10" t="inlineStr">
        <is>
          <t>Atari 2600</t>
        </is>
      </c>
      <c r="D9" s="10" t="inlineStr">
        <is>
          <t>Atari 2600: Level 2</t>
        </is>
      </c>
      <c r="E9" s="9" t="n">
        <v>2</v>
      </c>
      <c r="F9" s="10" t="inlineStr">
        <is>
          <t>Sparky</t>
        </is>
      </c>
      <c r="G9" s="11" t="inlineStr">
        <is>
          <t>Some traces leave at an angle: press two directions together, like W + D, to go diagonally.</t>
        </is>
      </c>
      <c r="H9" s="10" t="inlineStr">
        <is>
          <t>Added (tutorial)</t>
        </is>
      </c>
      <c r="I9" s="12">
        <f>IF(F9="","",LEN(G9))</f>
        <v/>
      </c>
    </row>
    <row r="10">
      <c r="A10" s="9" t="inlineStr">
        <is>
          <t>2</t>
        </is>
      </c>
      <c r="B10" s="9" t="n">
        <v>2</v>
      </c>
      <c r="C10" s="10" t="inlineStr">
        <is>
          <t>Atari 2600</t>
        </is>
      </c>
      <c r="D10" s="10" t="inlineStr">
        <is>
          <t>Atari 2600: Level 2</t>
        </is>
      </c>
      <c r="E10" s="9" t="n">
        <v>3</v>
      </c>
      <c r="F10" s="10" t="inlineStr">
        <is>
          <t>Sparky</t>
        </is>
      </c>
      <c r="G10" s="11" t="inlineStr">
        <is>
          <t>Took a wrong turn? Press R to start the stage over.</t>
        </is>
      </c>
      <c r="H10" s="10" t="inlineStr">
        <is>
          <t>Added (tutorial)</t>
        </is>
      </c>
      <c r="I10" s="12">
        <f>IF(F10="","",LEN(G10))</f>
        <v/>
      </c>
    </row>
    <row r="11">
      <c r="A11" s="5" t="inlineStr">
        <is>
          <t>3</t>
        </is>
      </c>
      <c r="B11" s="5" t="n">
        <v>3</v>
      </c>
      <c r="C11" s="6" t="inlineStr">
        <is>
          <t>Atari 2600</t>
        </is>
      </c>
      <c r="D11" s="6" t="inlineStr">
        <is>
          <t>Atari 2600: Level 3</t>
        </is>
      </c>
      <c r="E11" s="5" t="n">
        <v>1</v>
      </c>
      <c r="F11" s="6" t="inlineStr">
        <is>
          <t>Sparky</t>
        </is>
      </c>
      <c r="G11" s="7" t="inlineStr">
        <is>
          <t>Behind all that wood panelling, just 128 bytes of memory; less than a text message!</t>
        </is>
      </c>
      <c r="H11" s="6" t="inlineStr">
        <is>
          <t>Team script</t>
        </is>
      </c>
      <c r="I11" s="8">
        <f>IF(F11="","",LEN(G11))</f>
        <v/>
      </c>
    </row>
    <row r="12">
      <c r="A12" s="5" t="inlineStr">
        <is>
          <t>3</t>
        </is>
      </c>
      <c r="B12" s="5" t="n">
        <v>3</v>
      </c>
      <c r="C12" s="6" t="inlineStr">
        <is>
          <t>Atari 2600</t>
        </is>
      </c>
      <c r="D12" s="6" t="inlineStr">
        <is>
          <t>Atari 2600: Level 3</t>
        </is>
      </c>
      <c r="E12" s="5" t="n">
        <v>2</v>
      </c>
      <c r="F12" s="6" t="inlineStr">
        <is>
          <t>Sparky</t>
        </is>
      </c>
      <c r="G12" s="7" t="inlineStr">
        <is>
          <t>This board has two sides! Stop on a via and press Space to slip through to the other side.</t>
        </is>
      </c>
      <c r="H12" s="6" t="inlineStr">
        <is>
          <t>Added (tutorial)</t>
        </is>
      </c>
      <c r="I12" s="8">
        <f>IF(F12="","",LEN(G12))</f>
        <v/>
      </c>
    </row>
    <row r="13">
      <c r="A13" s="5" t="inlineStr">
        <is>
          <t>3</t>
        </is>
      </c>
      <c r="B13" s="5" t="n">
        <v>3</v>
      </c>
      <c r="C13" s="6" t="inlineStr">
        <is>
          <t>Atari 2600</t>
        </is>
      </c>
      <c r="D13" s="6" t="inlineStr">
        <is>
          <t>Atari 2600: Level 3</t>
        </is>
      </c>
      <c r="E13" s="5" t="n">
        <v>3</v>
      </c>
      <c r="F13" s="6" t="inlineStr">
        <is>
          <t>Sparky</t>
        </is>
      </c>
      <c r="G13" s="7" t="inlineStr">
        <is>
          <t>Hold the left mouse button and drag to tilt the board and peek around.</t>
        </is>
      </c>
      <c r="H13" s="6" t="inlineStr">
        <is>
          <t>Added (tutorial)</t>
        </is>
      </c>
      <c r="I13" s="8">
        <f>IF(F13="","",LEN(G13))</f>
        <v/>
      </c>
    </row>
    <row r="14">
      <c r="A14" s="9" t="inlineStr">
        <is>
          <t>4</t>
        </is>
      </c>
      <c r="B14" s="9" t="n">
        <v>4</v>
      </c>
      <c r="C14" s="10" t="inlineStr">
        <is>
          <t>Atari 2600</t>
        </is>
      </c>
      <c r="D14" s="10" t="inlineStr">
        <is>
          <t>Atari 2600: Level 4</t>
        </is>
      </c>
      <c r="E14" s="9" t="n">
        <v>1</v>
      </c>
      <c r="F14" s="10" t="inlineStr">
        <is>
          <t>Sparky</t>
        </is>
      </c>
      <c r="G14" s="11" t="inlineStr">
        <is>
          <t>Each side has its own traces. If a path looks blocked, the way on might be underneath!</t>
        </is>
      </c>
      <c r="H14" s="10" t="inlineStr">
        <is>
          <t>Added (tutorial)</t>
        </is>
      </c>
      <c r="I14" s="12">
        <f>IF(F14="","",LEN(G14))</f>
        <v/>
      </c>
    </row>
    <row r="15">
      <c r="A15" s="5" t="inlineStr">
        <is>
          <t>5</t>
        </is>
      </c>
      <c r="B15" s="5" t="n">
        <v>5</v>
      </c>
      <c r="C15" s="6" t="inlineStr">
        <is>
          <t>Atari 2600</t>
        </is>
      </c>
      <c r="D15" s="6" t="inlineStr">
        <is>
          <t>Atari 2600: Level 5</t>
        </is>
      </c>
      <c r="E15" s="5" t="n">
        <v>1</v>
      </c>
      <c r="F15" s="6" t="inlineStr">
        <is>
          <t>Sparky</t>
        </is>
      </c>
      <c r="G15" s="7" t="inlineStr">
        <is>
          <t>For parents, just a toy. For kids, there was an alien invasion, and they begged for the console to stop them!</t>
        </is>
      </c>
      <c r="H15" s="6" t="inlineStr">
        <is>
          <t>Team script</t>
        </is>
      </c>
      <c r="I15" s="8">
        <f>IF(F15="","",LEN(G15))</f>
        <v/>
      </c>
    </row>
    <row r="16">
      <c r="A16" s="5" t="inlineStr">
        <is>
          <t>5</t>
        </is>
      </c>
      <c r="B16" s="5" t="n">
        <v>5</v>
      </c>
      <c r="C16" s="6" t="inlineStr">
        <is>
          <t>Atari 2600</t>
        </is>
      </c>
      <c r="D16" s="6" t="inlineStr">
        <is>
          <t>Atari 2600: Level 5</t>
        </is>
      </c>
      <c r="E16" s="5" t="n">
        <v>2</v>
      </c>
      <c r="F16" s="6" t="inlineStr">
        <is>
          <t>Sparky</t>
        </is>
      </c>
      <c r="G16" s="7" t="inlineStr">
        <is>
          <t>See that glowing data? Pick up every piece: the Goal stays locked until you have them all.</t>
        </is>
      </c>
      <c r="H16" s="6" t="inlineStr">
        <is>
          <t>Added (tutorial)</t>
        </is>
      </c>
      <c r="I16" s="8">
        <f>IF(F16="","",LEN(G16))</f>
        <v/>
      </c>
    </row>
    <row r="17">
      <c r="A17" s="9" t="inlineStr">
        <is>
          <t>6</t>
        </is>
      </c>
      <c r="B17" s="9" t="n">
        <v>6</v>
      </c>
      <c r="C17" s="10" t="inlineStr">
        <is>
          <t>NES</t>
        </is>
      </c>
      <c r="D17" s="10" t="inlineStr">
        <is>
          <t>NES: Level 6</t>
        </is>
      </c>
      <c r="E17" s="9" t="n">
        <v>1</v>
      </c>
      <c r="F17" s="10" t="inlineStr">
        <is>
          <t>Sparky</t>
        </is>
      </c>
      <c r="G17" s="11" t="inlineStr">
        <is>
          <t>Welcome to the NES, that hatched so many famous heroes! Everyone said video games were finished, but nobody told the kids.</t>
        </is>
      </c>
      <c r="H17" s="10" t="inlineStr">
        <is>
          <t>Team script</t>
        </is>
      </c>
      <c r="I17" s="12">
        <f>IF(F17="","",LEN(G17))</f>
        <v/>
      </c>
    </row>
    <row r="18">
      <c r="A18" s="9" t="inlineStr">
        <is>
          <t>6</t>
        </is>
      </c>
      <c r="B18" s="9" t="n">
        <v>6</v>
      </c>
      <c r="C18" s="10" t="inlineStr">
        <is>
          <t>NES</t>
        </is>
      </c>
      <c r="D18" s="10" t="inlineStr">
        <is>
          <t>NES: Level 6</t>
        </is>
      </c>
      <c r="E18" s="9" t="n">
        <v>2</v>
      </c>
      <c r="F18" s="10" t="inlineStr">
        <is>
          <t>Sparky</t>
        </is>
      </c>
      <c r="G18" s="11" t="inlineStr">
        <is>
          <t>Data can hide on either side of the board. Check both!</t>
        </is>
      </c>
      <c r="H18" s="10" t="inlineStr">
        <is>
          <t>Added (tutorial)</t>
        </is>
      </c>
      <c r="I18" s="12">
        <f>IF(F18="","",LEN(G18))</f>
        <v/>
      </c>
    </row>
    <row r="19">
      <c r="A19" s="5" t="inlineStr">
        <is>
          <t>7</t>
        </is>
      </c>
      <c r="B19" s="5" t="n">
        <v>7</v>
      </c>
      <c r="C19" s="6" t="inlineStr">
        <is>
          <t>NES</t>
        </is>
      </c>
      <c r="D19" s="6" t="inlineStr">
        <is>
          <t>NES: Level 7</t>
        </is>
      </c>
      <c r="E19" s="5" t="n">
        <v>1</v>
      </c>
      <c r="F19" s="6" t="inlineStr">
        <is>
          <t>Sparky</t>
        </is>
      </c>
      <c r="G19" s="7" t="inlineStr">
        <is>
          <t>After the '83 crash, stores wouldn't touch 'video games'. The NES dressed up as a toy robot, and the Spark never went out.</t>
        </is>
      </c>
      <c r="H19" s="6" t="inlineStr">
        <is>
          <t>Team script</t>
        </is>
      </c>
      <c r="I19" s="8">
        <f>IF(F19="","",LEN(G19))</f>
        <v/>
      </c>
    </row>
    <row r="20">
      <c r="A20" s="5" t="inlineStr">
        <is>
          <t>7</t>
        </is>
      </c>
      <c r="B20" s="5" t="n">
        <v>7</v>
      </c>
      <c r="C20" s="6" t="inlineStr">
        <is>
          <t>NES</t>
        </is>
      </c>
      <c r="D20" s="6" t="inlineStr">
        <is>
          <t>NES: Level 7</t>
        </is>
      </c>
      <c r="E20" s="5" t="n">
        <v>2</v>
      </c>
      <c r="F20" s="6" t="inlineStr">
        <is>
          <t>Sparky</t>
        </is>
      </c>
      <c r="G20" s="7" t="inlineStr">
        <is>
          <t>That's a switch! Stop on it and press Space to flip every gate wired to it.</t>
        </is>
      </c>
      <c r="H20" s="6" t="inlineStr">
        <is>
          <t>Added (tutorial)</t>
        </is>
      </c>
      <c r="I20" s="8">
        <f>IF(F20="","",LEN(G20))</f>
        <v/>
      </c>
    </row>
    <row r="21">
      <c r="A21" s="5" t="inlineStr">
        <is>
          <t>7</t>
        </is>
      </c>
      <c r="B21" s="5" t="n">
        <v>7</v>
      </c>
      <c r="C21" s="6" t="inlineStr">
        <is>
          <t>NES</t>
        </is>
      </c>
      <c r="D21" s="6" t="inlineStr">
        <is>
          <t>NES: Level 7</t>
        </is>
      </c>
      <c r="E21" s="5" t="n">
        <v>3</v>
      </c>
      <c r="F21" s="6" t="inlineStr">
        <is>
          <t>Sparky</t>
        </is>
      </c>
      <c r="G21" s="7" t="inlineStr">
        <is>
          <t>Careful: a switch flips ALL its gates at once. Open ones close, closed ones open!</t>
        </is>
      </c>
      <c r="H21" s="6" t="inlineStr">
        <is>
          <t>Added (tutorial)</t>
        </is>
      </c>
      <c r="I21" s="8">
        <f>IF(F21="","",LEN(G21))</f>
        <v/>
      </c>
    </row>
    <row r="22">
      <c r="A22" s="9" t="inlineStr">
        <is>
          <t>8</t>
        </is>
      </c>
      <c r="B22" s="9" t="n">
        <v>8</v>
      </c>
      <c r="C22" s="10" t="inlineStr">
        <is>
          <t>NES</t>
        </is>
      </c>
      <c r="D22" s="10" t="inlineStr">
        <is>
          <t>NES: Level 8</t>
        </is>
      </c>
      <c r="E22" s="9" t="n">
        <v>1</v>
      </c>
      <c r="F22" s="10" t="inlineStr">
        <is>
          <t>Sparky</t>
        </is>
      </c>
      <c r="G22" s="11" t="inlineStr">
        <is>
          <t>The NES also disguised as a front-loading VCR to hide from the adults, so it would feel right at home next to the TV.</t>
        </is>
      </c>
      <c r="H22" s="10" t="inlineStr">
        <is>
          <t>Team script</t>
        </is>
      </c>
      <c r="I22" s="12">
        <f>IF(F22="","",LEN(G22))</f>
        <v/>
      </c>
    </row>
    <row r="23">
      <c r="A23" s="9" t="inlineStr">
        <is>
          <t>8</t>
        </is>
      </c>
      <c r="B23" s="9" t="n">
        <v>8</v>
      </c>
      <c r="C23" s="10" t="inlineStr">
        <is>
          <t>NES</t>
        </is>
      </c>
      <c r="D23" s="10" t="inlineStr">
        <is>
          <t>NES: Level 8</t>
        </is>
      </c>
      <c r="E23" s="9" t="n">
        <v>2</v>
      </c>
      <c r="F23" s="10" t="inlineStr">
        <is>
          <t>Sparky</t>
        </is>
      </c>
      <c r="G23" s="11" t="inlineStr">
        <is>
          <t>Watch which gates move each time you press. Order matters!</t>
        </is>
      </c>
      <c r="H23" s="10" t="inlineStr">
        <is>
          <t>Added (tutorial)</t>
        </is>
      </c>
      <c r="I23" s="12">
        <f>IF(F23="","",LEN(G23))</f>
        <v/>
      </c>
    </row>
    <row r="24">
      <c r="A24" s="5" t="inlineStr">
        <is>
          <t>9</t>
        </is>
      </c>
      <c r="B24" s="5" t="n">
        <v>9</v>
      </c>
      <c r="C24" s="6" t="inlineStr">
        <is>
          <t>NES</t>
        </is>
      </c>
      <c r="D24" s="6" t="inlineStr">
        <is>
          <t>NES: Level 9</t>
        </is>
      </c>
      <c r="E24" s="5" t="n">
        <v>1</v>
      </c>
      <c r="F24" s="6" t="inlineStr">
        <is>
          <t>Sparky</t>
        </is>
      </c>
      <c r="G24" s="7" t="inlineStr">
        <is>
          <t>These are AND switches. They work as a team: their gate only opens while ALL of them are on.</t>
        </is>
      </c>
      <c r="H24" s="6" t="inlineStr">
        <is>
          <t>Added (tutorial)</t>
        </is>
      </c>
      <c r="I24" s="8">
        <f>IF(F24="","",LEN(G24))</f>
        <v/>
      </c>
    </row>
    <row r="25">
      <c r="A25" s="5" t="inlineStr">
        <is>
          <t>9</t>
        </is>
      </c>
      <c r="B25" s="5" t="n">
        <v>9</v>
      </c>
      <c r="C25" s="6" t="inlineStr">
        <is>
          <t>NES</t>
        </is>
      </c>
      <c r="D25" s="6" t="inlineStr">
        <is>
          <t>NES: Level 9</t>
        </is>
      </c>
      <c r="E25" s="5" t="n">
        <v>2</v>
      </c>
      <c r="F25" s="6" t="inlineStr">
        <is>
          <t>Sparky</t>
        </is>
      </c>
      <c r="G25" s="7" t="inlineStr">
        <is>
          <t>Press one again to turn it off. Find every one before heading for the gate!</t>
        </is>
      </c>
      <c r="H25" s="6" t="inlineStr">
        <is>
          <t>Added (tutorial)</t>
        </is>
      </c>
      <c r="I25" s="8">
        <f>IF(F25="","",LEN(G25))</f>
        <v/>
      </c>
    </row>
    <row r="26">
      <c r="A26" s="9" t="inlineStr">
        <is>
          <t>10</t>
        </is>
      </c>
      <c r="B26" s="9" t="n">
        <v>10</v>
      </c>
      <c r="C26" s="10" t="inlineStr">
        <is>
          <t>NES</t>
        </is>
      </c>
      <c r="D26" s="10" t="inlineStr">
        <is>
          <t>NES: Level 10</t>
        </is>
      </c>
      <c r="E26" s="9" t="n">
        <v>1</v>
      </c>
      <c r="F26" s="10" t="inlineStr">
        <is>
          <t>Sparky</t>
        </is>
      </c>
      <c r="G26" s="11" t="inlineStr">
        <is>
          <t>Game won't start? You know the ritual: pull it out and BLOW! Secret: it never really helped... but believing in it was pure Spark!</t>
        </is>
      </c>
      <c r="H26" s="10" t="inlineStr">
        <is>
          <t>Team script</t>
        </is>
      </c>
      <c r="I26" s="12">
        <f>IF(F26="","",LEN(G26))</f>
        <v/>
      </c>
    </row>
    <row r="27">
      <c r="A27" s="5" t="inlineStr">
        <is>
          <t>11</t>
        </is>
      </c>
      <c r="B27" s="5" t="n">
        <v>11</v>
      </c>
      <c r="C27" s="6" t="inlineStr">
        <is>
          <t>NES</t>
        </is>
      </c>
      <c r="D27" s="6" t="inlineStr">
        <is>
          <t>NES: Level 11</t>
        </is>
      </c>
      <c r="E27" s="5" t="n">
        <v>1</v>
      </c>
      <c r="F27" s="6" t="inlineStr">
        <is>
          <t>Sparky</t>
        </is>
      </c>
      <c r="G27" s="7" t="inlineStr">
        <is>
          <t>See that little cross-shaped pad? Your thumbs remember it, even if you don't! NES made it the standard that almost every controller copied.</t>
        </is>
      </c>
      <c r="H27" s="6" t="inlineStr">
        <is>
          <t>Team script</t>
        </is>
      </c>
      <c r="I27" s="8">
        <f>IF(F27="","",LEN(G27))</f>
        <v/>
      </c>
    </row>
    <row r="28">
      <c r="A28" s="9" t="inlineStr">
        <is>
          <t>12</t>
        </is>
      </c>
      <c r="B28" s="9" t="n">
        <v>12</v>
      </c>
      <c r="C28" s="10" t="inlineStr">
        <is>
          <t>NES</t>
        </is>
      </c>
      <c r="D28" s="10" t="inlineStr">
        <is>
          <t>NES: Level 12</t>
        </is>
      </c>
      <c r="E28" s="9" t="n">
        <v>1</v>
      </c>
      <c r="F28" s="10" t="inlineStr">
        <is>
          <t>Sparky</t>
        </is>
      </c>
      <c r="G28" s="11" t="inlineStr">
        <is>
          <t>Both kinds of switch on one board! Normal switches flip their gates; AND switches must all be on.</t>
        </is>
      </c>
      <c r="H28" s="10" t="inlineStr">
        <is>
          <t>Added (tutorial)</t>
        </is>
      </c>
      <c r="I28" s="12">
        <f>IF(F28="","",LEN(G28))</f>
        <v/>
      </c>
    </row>
    <row r="29">
      <c r="A29" s="5" t="inlineStr">
        <is>
          <t>13</t>
        </is>
      </c>
      <c r="B29" s="5" t="n">
        <v>13</v>
      </c>
      <c r="C29" s="6" t="inlineStr">
        <is>
          <t>Gameboy</t>
        </is>
      </c>
      <c r="D29" s="6" t="inlineStr">
        <is>
          <t>Gameboy: Level 13</t>
        </is>
      </c>
      <c r="E29" s="5" t="n">
        <v>1</v>
      </c>
      <c r="F29" s="6" t="inlineStr">
        <is>
          <t>Sparky</t>
        </is>
      </c>
      <c r="G29" s="7" t="inlineStr">
        <is>
          <t>Game Boy: Now you had the power in your hands! Playing under the blanket by torchlight, the glow was you.</t>
        </is>
      </c>
      <c r="H29" s="6" t="inlineStr">
        <is>
          <t>Team script</t>
        </is>
      </c>
      <c r="I29" s="8">
        <f>IF(F29="","",LEN(G29))</f>
        <v/>
      </c>
    </row>
    <row r="30">
      <c r="A30" s="5" t="inlineStr">
        <is>
          <t>13</t>
        </is>
      </c>
      <c r="B30" s="5" t="n">
        <v>13</v>
      </c>
      <c r="C30" s="6" t="inlineStr">
        <is>
          <t>Gameboy</t>
        </is>
      </c>
      <c r="D30" s="6" t="inlineStr">
        <is>
          <t>Gameboy: Level 13</t>
        </is>
      </c>
      <c r="E30" s="5" t="n">
        <v>2</v>
      </c>
      <c r="F30" s="6" t="inlineStr">
        <is>
          <t>Sparky</t>
        </is>
      </c>
      <c r="G30" s="7" t="inlineStr">
        <is>
          <t>Press Space on a pass holder to take its pass. Locks of the same colour only let you in while you carry it.</t>
        </is>
      </c>
      <c r="H30" s="6" t="inlineStr">
        <is>
          <t>Added (tutorial)</t>
        </is>
      </c>
      <c r="I30" s="8">
        <f>IF(F30="","",LEN(G30))</f>
        <v/>
      </c>
    </row>
    <row r="31">
      <c r="A31" s="5" t="inlineStr">
        <is>
          <t>13</t>
        </is>
      </c>
      <c r="B31" s="5" t="n">
        <v>13</v>
      </c>
      <c r="C31" s="6" t="inlineStr">
        <is>
          <t>Gameboy</t>
        </is>
      </c>
      <c r="D31" s="6" t="inlineStr">
        <is>
          <t>Gameboy: Level 13</t>
        </is>
      </c>
      <c r="E31" s="5" t="n">
        <v>3</v>
      </c>
      <c r="F31" s="6" t="inlineStr">
        <is>
          <t>Sparky</t>
        </is>
      </c>
      <c r="G31" s="7" t="inlineStr">
        <is>
          <t>I can carry one pass at a time: taking a new one swaps out the old. Plan your swaps!</t>
        </is>
      </c>
      <c r="H31" s="6" t="inlineStr">
        <is>
          <t>Added (tutorial)</t>
        </is>
      </c>
      <c r="I31" s="8">
        <f>IF(F31="","",LEN(G31))</f>
        <v/>
      </c>
    </row>
    <row r="32">
      <c r="A32" s="9" t="inlineStr">
        <is>
          <t>14</t>
        </is>
      </c>
      <c r="B32" s="9" t="n">
        <v>14</v>
      </c>
      <c r="C32" s="10" t="inlineStr">
        <is>
          <t>Gameboy</t>
        </is>
      </c>
      <c r="D32" s="10" t="inlineStr">
        <is>
          <t>Gameboy: Level 14</t>
        </is>
      </c>
      <c r="E32" s="9" t="n">
        <v>1</v>
      </c>
      <c r="F32" s="10" t="inlineStr">
        <is>
          <t>Sparky</t>
        </is>
      </c>
      <c r="G32" s="11" t="inlineStr">
        <is>
          <t>Before you swap passes, make sure you won't need the old one to get back. Stuck? Press R!</t>
        </is>
      </c>
      <c r="H32" s="10" t="inlineStr">
        <is>
          <t>Added (tutorial)</t>
        </is>
      </c>
      <c r="I32" s="12">
        <f>IF(F32="","",LEN(G32))</f>
        <v/>
      </c>
    </row>
    <row r="33">
      <c r="A33" s="5" t="inlineStr">
        <is>
          <t>15</t>
        </is>
      </c>
      <c r="B33" s="5" t="n">
        <v>15</v>
      </c>
      <c r="C33" s="6" t="inlineStr">
        <is>
          <t>Gameboy</t>
        </is>
      </c>
      <c r="D33" s="6" t="inlineStr">
        <is>
          <t>Gameboy: Level 15</t>
        </is>
      </c>
      <c r="E33" s="5" t="n">
        <v>1</v>
      </c>
      <c r="F33" s="6" t="inlineStr">
        <is>
          <t>Sparky</t>
        </is>
      </c>
      <c r="G33" s="7" t="inlineStr">
        <is>
          <t>Four AA batteries could last around 30 hours! Its full-color rivals, flashier on the outside, but ate batteries way, way faster.</t>
        </is>
      </c>
      <c r="H33" s="6" t="inlineStr">
        <is>
          <t>Team script</t>
        </is>
      </c>
      <c r="I33" s="8">
        <f>IF(F33="","",LEN(G33))</f>
        <v/>
      </c>
    </row>
    <row r="34">
      <c r="A34" s="5" t="inlineStr">
        <is>
          <t>15</t>
        </is>
      </c>
      <c r="B34" s="5" t="n">
        <v>15</v>
      </c>
      <c r="C34" s="6" t="inlineStr">
        <is>
          <t>Gameboy</t>
        </is>
      </c>
      <c r="D34" s="6" t="inlineStr">
        <is>
          <t>Gameboy: Level 15</t>
        </is>
      </c>
      <c r="E34" s="5" t="n">
        <v>2</v>
      </c>
      <c r="F34" s="6" t="inlineStr">
        <is>
          <t>Sparky</t>
        </is>
      </c>
      <c r="G34" s="7" t="inlineStr">
        <is>
          <t>Some gates are wired to two switches: pressing either one flips them.</t>
        </is>
      </c>
      <c r="H34" s="6" t="inlineStr">
        <is>
          <t>Added (tutorial)</t>
        </is>
      </c>
      <c r="I34" s="8">
        <f>IF(F34="","",LEN(G34))</f>
        <v/>
      </c>
    </row>
    <row r="35">
      <c r="A35" s="9" t="inlineStr">
        <is>
          <t>16</t>
        </is>
      </c>
      <c r="B35" s="9" t="n">
        <v>16</v>
      </c>
      <c r="C35" s="10" t="inlineStr">
        <is>
          <t>Gameboy</t>
        </is>
      </c>
      <c r="D35" s="10" t="inlineStr">
        <is>
          <t>Gameboy: Level 16</t>
        </is>
      </c>
      <c r="E35" s="9" t="n">
        <v>1</v>
      </c>
      <c r="F35" s="10" t="inlineStr">
        <is>
          <t>Sparky</t>
        </is>
      </c>
      <c r="G35" s="11" t="inlineStr">
        <is>
          <t>Passes and AND switches together. Think twice before you trade the pass you're holding!</t>
        </is>
      </c>
      <c r="H35" s="10" t="inlineStr">
        <is>
          <t>Added (tutorial)</t>
        </is>
      </c>
      <c r="I35" s="12">
        <f>IF(F35="","",LEN(G35))</f>
        <v/>
      </c>
    </row>
    <row r="36">
      <c r="A36" s="5" t="inlineStr">
        <is>
          <t>17</t>
        </is>
      </c>
      <c r="B36" s="5" t="n">
        <v>17</v>
      </c>
      <c r="C36" s="6" t="inlineStr">
        <is>
          <t>Gameboy</t>
        </is>
      </c>
      <c r="D36" s="6" t="inlineStr">
        <is>
          <t>Gameboy: Level 17</t>
        </is>
      </c>
      <c r="E36" s="5" t="n">
        <v>1</v>
      </c>
      <c r="F36" s="6" t="inlineStr">
        <is>
          <t>Sparky</t>
        </is>
      </c>
      <c r="G36" s="7" t="inlineStr">
        <is>
          <t>It came with unending falling blocks, and hooked kids, parents and even grandparents. They all had the spark in them after all.</t>
        </is>
      </c>
      <c r="H36" s="6" t="inlineStr">
        <is>
          <t>Team script</t>
        </is>
      </c>
      <c r="I36" s="8">
        <f>IF(F36="","",LEN(G36))</f>
        <v/>
      </c>
    </row>
    <row r="37">
      <c r="A37" s="9" t="inlineStr">
        <is>
          <t>18</t>
        </is>
      </c>
      <c r="B37" s="9" t="n">
        <v>18</v>
      </c>
      <c r="C37" s="10" t="inlineStr">
        <is>
          <t>PS1</t>
        </is>
      </c>
      <c r="D37" s="10" t="inlineStr">
        <is>
          <t>PS1: Level 18</t>
        </is>
      </c>
      <c r="E37" s="9" t="n">
        <v>1</v>
      </c>
      <c r="F37" s="10" t="inlineStr">
        <is>
          <t>Sparky</t>
        </is>
      </c>
      <c r="G37" s="11" t="inlineStr">
        <is>
          <t>Here comes PS1, the big kid who brought 3D into the living room! Born from a partnership that fell apart, it grew up fast!</t>
        </is>
      </c>
      <c r="H37" s="10" t="inlineStr">
        <is>
          <t>Team script</t>
        </is>
      </c>
      <c r="I37" s="12">
        <f>IF(F37="","",LEN(G37))</f>
        <v/>
      </c>
    </row>
    <row r="38">
      <c r="A38" s="9" t="inlineStr">
        <is>
          <t>18</t>
        </is>
      </c>
      <c r="B38" s="9" t="n">
        <v>18</v>
      </c>
      <c r="C38" s="10" t="inlineStr">
        <is>
          <t>PS1</t>
        </is>
      </c>
      <c r="D38" s="10" t="inlineStr">
        <is>
          <t>PS1: Level 18</t>
        </is>
      </c>
      <c r="E38" s="9" t="n">
        <v>2</v>
      </c>
      <c r="F38" s="10" t="inlineStr">
        <is>
          <t>Sparky</t>
        </is>
      </c>
      <c r="G38" s="11" t="inlineStr">
        <is>
          <t>From here on, everything you've learned comes together. Take your time!</t>
        </is>
      </c>
      <c r="H38" s="10" t="inlineStr">
        <is>
          <t>Added (tutorial)</t>
        </is>
      </c>
      <c r="I38" s="12">
        <f>IF(F38="","",LEN(G38))</f>
        <v/>
      </c>
    </row>
    <row r="39">
      <c r="A39" s="5" t="inlineStr">
        <is>
          <t>19</t>
        </is>
      </c>
      <c r="B39" s="5" t="n">
        <v>19</v>
      </c>
      <c r="C39" s="6" t="inlineStr">
        <is>
          <t>PS1</t>
        </is>
      </c>
      <c r="D39" s="6" t="inlineStr">
        <is>
          <t>PS1: Level 19</t>
        </is>
      </c>
      <c r="E39" s="5" t="n">
        <v>1</v>
      </c>
      <c r="F39" s="6" t="inlineStr">
        <is>
          <t>Sparky</t>
        </is>
      </c>
      <c r="G39" s="7" t="inlineStr">
        <is>
          <t>Games on CDs, with room for real music, movies and huge worlds. And a memory card so the kid who played could be saved too.</t>
        </is>
      </c>
      <c r="H39" s="6" t="inlineStr">
        <is>
          <t>Team script</t>
        </is>
      </c>
      <c r="I39" s="8">
        <f>IF(F39="","",LEN(G39))</f>
        <v/>
      </c>
    </row>
    <row r="40">
      <c r="A40" s="9" t="inlineStr">
        <is>
          <t>20</t>
        </is>
      </c>
      <c r="B40" s="9" t="n">
        <v>20</v>
      </c>
      <c r="C40" s="10" t="inlineStr">
        <is>
          <t>PS1</t>
        </is>
      </c>
      <c r="D40" s="10" t="inlineStr">
        <is>
          <t>PS1: Level 20</t>
        </is>
      </c>
      <c r="E40" s="9" t="n">
        <v>1</v>
      </c>
      <c r="F40" s="10" t="inlineStr">
        <is>
          <t>Sparky</t>
        </is>
      </c>
      <c r="G40" s="11" t="inlineStr">
        <is>
          <t>Overheating? Turn it upside down: the grown up version of blowing on cartridges! First console to sell 100 million. The true Queen of its era!</t>
        </is>
      </c>
      <c r="H40" s="10" t="inlineStr">
        <is>
          <t>Team script</t>
        </is>
      </c>
      <c r="I40" s="12">
        <f>IF(F40="","",LEN(G40))</f>
        <v/>
      </c>
    </row>
    <row r="41">
      <c r="A41" s="5" t="inlineStr">
        <is>
          <t>Bonus 1</t>
        </is>
      </c>
      <c r="B41" s="5" t="n">
        <v>21</v>
      </c>
      <c r="C41" s="6" t="inlineStr">
        <is>
          <t>Bonus</t>
        </is>
      </c>
      <c r="D41" s="6" t="inlineStr">
        <is>
          <t>Bonus: Level 21</t>
        </is>
      </c>
      <c r="E41" s="5" t="n">
        <v>1</v>
      </c>
      <c r="F41" s="6" t="inlineStr">
        <is>
          <t>Sparky</t>
        </is>
      </c>
      <c r="G41" s="7" t="inlineStr">
        <is>
          <t>Bonus stage! These boards are tough: switches, gates, data and passes, all at once. Good luck!</t>
        </is>
      </c>
      <c r="H41" s="6" t="inlineStr">
        <is>
          <t>Added (tutorial)</t>
        </is>
      </c>
      <c r="I41" s="8">
        <f>IF(F41="","",LEN(G41))</f>
        <v/>
      </c>
    </row>
    <row r="42">
      <c r="A42" s="13" t="inlineStr">
        <is>
          <t>Bonus 2</t>
        </is>
      </c>
      <c r="B42" s="13" t="n">
        <v>22</v>
      </c>
      <c r="C42" s="14" t="inlineStr">
        <is>
          <t>Bonus</t>
        </is>
      </c>
      <c r="D42" s="14" t="inlineStr">
        <is>
          <t>Bonus: Level 22</t>
        </is>
      </c>
      <c r="E42" s="13" t="n"/>
      <c r="F42" s="14" t="n"/>
      <c r="G42" s="15" t="inlineStr">
        <is>
          <t>(no dialog)</t>
        </is>
      </c>
      <c r="H42" s="14" t="n"/>
      <c r="I42" s="12">
        <f>IF(F42="","",LEN(G42))</f>
        <v/>
      </c>
    </row>
    <row r="43">
      <c r="A43" s="16" t="inlineStr">
        <is>
          <t>Bonus 3</t>
        </is>
      </c>
      <c r="B43" s="16" t="n">
        <v>23</v>
      </c>
      <c r="C43" s="17" t="inlineStr">
        <is>
          <t>Bonus</t>
        </is>
      </c>
      <c r="D43" s="17" t="inlineStr">
        <is>
          <t>Bonus: Level 23</t>
        </is>
      </c>
      <c r="E43" s="16" t="n"/>
      <c r="F43" s="17" t="n"/>
      <c r="G43" s="18" t="inlineStr">
        <is>
          <t>(no dialog)</t>
        </is>
      </c>
      <c r="H43" s="17" t="n"/>
      <c r="I43" s="8">
        <f>IF(F43="","",LEN(G43))</f>
        <v/>
      </c>
    </row>
    <row r="45">
      <c r="F45" s="19" t="inlineStr">
        <is>
          <t>Lines</t>
        </is>
      </c>
      <c r="G45" s="20">
        <f>COUNTIF(F5:F43,"Sparky")</f>
        <v/>
      </c>
    </row>
    <row r="46">
      <c r="F46" s="21" t="inlineStr">
        <is>
          <t>Team script</t>
        </is>
      </c>
      <c r="G46" s="22">
        <f>COUNTIF(H5:H43,"Team script")</f>
        <v/>
      </c>
    </row>
    <row r="47">
      <c r="F47" s="21" t="inlineStr">
        <is>
          <t>Team script (shortened)</t>
        </is>
      </c>
      <c r="G47" s="22">
        <f>COUNTIF(H5:H43,"Team script (shortened)")</f>
        <v/>
      </c>
    </row>
    <row r="48">
      <c r="F48" s="21" t="inlineStr">
        <is>
          <t>Added (tutorial)</t>
        </is>
      </c>
      <c r="G48" s="22">
        <f>COUNTIF(H5:H43,"Added (tutorial)")</f>
        <v/>
      </c>
    </row>
    <row r="50">
      <c r="F50" s="2" t="inlineStr">
        <is>
          <t>Origin = whether the line comes from the team's dialog sheet or was added to teach controls / mechanics.</t>
        </is>
      </c>
    </row>
  </sheetData>
  <autoFilter ref="A4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2026-10-02T07:55:52Z</dcterms:created>
  <dcterms:modified xsi:type="dcterms:W3CDTF">2026-10-02T07:55:52Z</dcterms:modified>
</cp:coreProperties>
</file>